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거래내역" sheetId="2" state="visible" r:id="rId2"/>
    <sheet name="고정비분석" sheetId="3" state="visible" r:id="rId3"/>
    <sheet name="변동비분석" sheetId="4" state="visible" r:id="rId4"/>
    <sheet name="추세" sheetId="5" state="visible" r:id="rId5"/>
    <sheet name="경고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b val="1"/>
      <color rgb="002F5496"/>
      <sz val="11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3" fontId="4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고정비 구성 비율</a:t>
            </a:r>
          </a:p>
        </rich>
      </tx>
    </title>
    <plotArea>
      <pieChart>
        <varyColors val="1"/>
        <ser>
          <idx val="0"/>
          <order val="0"/>
          <tx>
            <strRef>
              <f>'고정비분석'!B1</f>
            </strRef>
          </tx>
          <spPr>
            <a:ln>
              <a:prstDash val="solid"/>
            </a:ln>
          </spPr>
          <cat>
            <numRef>
              <f>'고정비분석'!$A$2:$A$5</f>
            </numRef>
          </cat>
          <val>
            <numRef>
              <f>'고정비분석'!$B$2:$B$5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변동비 구성 비율</a:t>
            </a:r>
          </a:p>
        </rich>
      </tx>
    </title>
    <plotArea>
      <pieChart>
        <varyColors val="1"/>
        <ser>
          <idx val="0"/>
          <order val="0"/>
          <tx>
            <strRef>
              <f>'변동비분석'!B1</f>
            </strRef>
          </tx>
          <spPr>
            <a:ln>
              <a:prstDash val="solid"/>
            </a:ln>
          </spPr>
          <cat>
            <numRef>
              <f>'변동비분석'!$A$2:$A$8</f>
            </numRef>
          </cat>
          <val>
            <numRef>
              <f>'변동비분석'!$B$2:$B$8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자금 흐름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'추세'!B1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'추세'!$A$2:$A$4</f>
            </numRef>
          </cat>
          <val>
            <numRef>
              <f>'추세'!$B$2:$B$4</f>
            </numRef>
          </val>
        </ser>
        <ser>
          <idx val="1"/>
          <order val="1"/>
          <tx>
            <strRef>
              <f>'추세'!C1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'추세'!$A$2:$A$4</f>
            </numRef>
          </cat>
          <val>
            <numRef>
              <f>'추세'!$C$2:$C$4</f>
            </numRef>
          </val>
        </ser>
        <ser>
          <idx val="2"/>
          <order val="2"/>
          <tx>
            <strRef>
              <f>'추세'!D1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'추세'!$A$2:$A$4</f>
            </numRef>
          </cat>
          <val>
            <numRef>
              <f>'추세'!$D$2:$D$4</f>
            </numRef>
          </val>
        </ser>
        <ser>
          <idx val="3"/>
          <order val="3"/>
          <tx>
            <strRef>
              <f>'추세'!E1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'추세'!$A$2:$A$4</f>
            </numRef>
          </cat>
          <val>
            <numRef>
              <f>'추세'!$E$2:$E$4</f>
            </numRef>
          </val>
        </ser>
        <ser>
          <idx val="4"/>
          <order val="4"/>
          <tx>
            <strRef>
              <f>'추세'!F1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'추세'!$A$2:$A$4</f>
            </numRef>
          </cat>
          <val>
            <numRef>
              <f>'추세'!$F$2:$F$4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📊 월간 재무 요약 — 2026-01</t>
        </is>
      </c>
    </row>
    <row r="3">
      <c r="A3" s="2" t="inlineStr">
        <is>
          <t>항목</t>
        </is>
      </c>
      <c r="B3" s="2" t="inlineStr">
        <is>
          <t>금액</t>
        </is>
      </c>
      <c r="C3" s="2" t="inlineStr">
        <is>
          <t>비율</t>
        </is>
      </c>
    </row>
    <row r="4">
      <c r="A4" s="3" t="inlineStr">
        <is>
          <t>총수입</t>
        </is>
      </c>
      <c r="B4" s="3" t="n">
        <v>8000000</v>
      </c>
      <c r="C4" s="3" t="inlineStr"/>
    </row>
    <row r="5">
      <c r="A5" s="3" t="inlineStr">
        <is>
          <t>총지출</t>
        </is>
      </c>
      <c r="B5" s="3" t="n">
        <v>6814000</v>
      </c>
      <c r="C5" s="3" t="inlineStr"/>
    </row>
    <row r="6">
      <c r="A6" s="3" t="inlineStr">
        <is>
          <t>순이익</t>
        </is>
      </c>
      <c r="B6" s="3" t="n">
        <v>1186000</v>
      </c>
      <c r="C6" s="3" t="inlineStr"/>
    </row>
    <row r="7">
      <c r="A7" s="3" t="inlineStr"/>
      <c r="B7" s="3" t="inlineStr"/>
      <c r="C7" s="3" t="inlineStr"/>
    </row>
    <row r="8">
      <c r="A8" s="3" t="inlineStr">
        <is>
          <t>고정비</t>
        </is>
      </c>
      <c r="B8" s="3" t="n">
        <v>6170000</v>
      </c>
      <c r="C8" s="3" t="inlineStr">
        <is>
          <t>90.5%</t>
        </is>
      </c>
    </row>
    <row r="9">
      <c r="A9" s="3" t="inlineStr">
        <is>
          <t>변동비</t>
        </is>
      </c>
      <c r="B9" s="3" t="n">
        <v>494000</v>
      </c>
      <c r="C9" s="3" t="inlineStr">
        <is>
          <t>7.2%</t>
        </is>
      </c>
    </row>
    <row r="10">
      <c r="A10" s="3" t="inlineStr">
        <is>
          <t>미분류 지출</t>
        </is>
      </c>
      <c r="B10" s="3" t="n">
        <v>150000</v>
      </c>
      <c r="C10" s="3" t="inlineStr"/>
    </row>
    <row r="11">
      <c r="A11" s="3" t="inlineStr"/>
      <c r="B11" s="3" t="inlineStr"/>
      <c r="C11" s="3" t="inlineStr"/>
    </row>
    <row r="12">
      <c r="A12" s="3" t="inlineStr">
        <is>
          <t>거래 건수</t>
        </is>
      </c>
      <c r="B12" s="4" t="n">
        <v>16</v>
      </c>
      <c r="C12" s="3" t="inlineStr"/>
    </row>
    <row r="14">
      <c r="A14" s="5" t="inlineStr">
        <is>
          <t>💰 현금 흐름 예측</t>
        </is>
      </c>
    </row>
    <row r="15">
      <c r="A15" s="3" t="inlineStr">
        <is>
          <t>기준기간</t>
        </is>
      </c>
      <c r="B15" s="3" t="inlineStr">
        <is>
          <t>2026-01 ~ 2026-03</t>
        </is>
      </c>
    </row>
    <row r="16">
      <c r="A16" s="3" t="inlineStr">
        <is>
          <t>월평균 고정비</t>
        </is>
      </c>
      <c r="B16" s="4" t="n">
        <v>6170333.333333333</v>
      </c>
    </row>
    <row r="17">
      <c r="A17" s="3" t="inlineStr">
        <is>
          <t>월평균 변동비</t>
        </is>
      </c>
      <c r="B17" s="4" t="n">
        <v>476666.6666666667</v>
      </c>
    </row>
    <row r="18">
      <c r="A18" s="3" t="inlineStr">
        <is>
          <t>월평균 총지출</t>
        </is>
      </c>
      <c r="B18" s="4" t="n">
        <v>6647000</v>
      </c>
    </row>
    <row r="19">
      <c r="A19" s="3" t="inlineStr">
        <is>
          <t>월평균 수입</t>
        </is>
      </c>
      <c r="B19" s="4" t="n">
        <v>8504166.666666666</v>
      </c>
    </row>
    <row r="20">
      <c r="A20" s="3" t="inlineStr">
        <is>
          <t>예상 순이익</t>
        </is>
      </c>
      <c r="B20" s="4" t="n">
        <v>1857166.666666666</v>
      </c>
    </row>
    <row r="21">
      <c r="A21" s="3" t="inlineStr">
        <is>
          <t>최소 필요 자금</t>
        </is>
      </c>
      <c r="B21" s="4" t="n">
        <v>6170333.333333333</v>
      </c>
    </row>
    <row r="22">
      <c r="A22" s="3" t="inlineStr">
        <is>
          <t>권장 보유 자금 (20% 여유)</t>
        </is>
      </c>
      <c r="B22" s="4" t="n">
        <v>7976400</v>
      </c>
    </row>
    <row r="24">
      <c r="A24" s="5" t="inlineStr">
        <is>
          <t>📋 재무 조언</t>
        </is>
      </c>
    </row>
    <row r="25" ht="25" customHeight="1">
      <c r="A25" s="3" t="inlineStr">
        <is>
          <t>⚠️ 고정비 비율이 90.5%로 매우 높습니다. 고정비가 전체 지출의 70%를 초과하면 매출 변동에 취약합니다. 구독료, 리스 등 절감 가능한 고정비를 검토하세요.</t>
        </is>
      </c>
    </row>
    <row r="27">
      <c r="A27" s="5" t="inlineStr">
        <is>
          <t>📈 지출 항목 TOP 10</t>
        </is>
      </c>
    </row>
    <row r="28">
      <c r="A28" s="2" t="inlineStr">
        <is>
          <t>순위</t>
        </is>
      </c>
      <c r="B28" s="2" t="inlineStr">
        <is>
          <t>대분류</t>
        </is>
      </c>
      <c r="C28" s="2" t="inlineStr">
        <is>
          <t>중분류</t>
        </is>
      </c>
      <c r="D28" s="2" t="inlineStr">
        <is>
          <t>금액</t>
        </is>
      </c>
    </row>
    <row r="29">
      <c r="A29" s="3" t="n">
        <v>1</v>
      </c>
      <c r="B29" s="3" t="inlineStr">
        <is>
          <t>고정비</t>
        </is>
      </c>
      <c r="C29" s="3" t="inlineStr">
        <is>
          <t>인건비</t>
        </is>
      </c>
      <c r="D29" s="4" t="n">
        <v>4550000</v>
      </c>
    </row>
    <row r="30">
      <c r="A30" s="3" t="n">
        <v>2</v>
      </c>
      <c r="B30" s="3" t="inlineStr">
        <is>
          <t>고정비</t>
        </is>
      </c>
      <c r="C30" s="3" t="inlineStr">
        <is>
          <t>임대료</t>
        </is>
      </c>
      <c r="D30" s="4" t="n">
        <v>1500000</v>
      </c>
    </row>
    <row r="31">
      <c r="A31" s="3" t="n">
        <v>3</v>
      </c>
      <c r="B31" s="3" t="inlineStr">
        <is>
          <t>변동비</t>
        </is>
      </c>
      <c r="C31" s="3" t="inlineStr">
        <is>
          <t>마케팅</t>
        </is>
      </c>
      <c r="D31" s="4" t="n">
        <v>300000</v>
      </c>
    </row>
    <row r="32">
      <c r="A32" s="3" t="n">
        <v>4</v>
      </c>
      <c r="B32" s="3" t="inlineStr">
        <is>
          <t>변동비</t>
        </is>
      </c>
      <c r="C32" s="3" t="inlineStr">
        <is>
          <t>유류비</t>
        </is>
      </c>
      <c r="D32" s="4" t="n">
        <v>80000</v>
      </c>
    </row>
    <row r="33">
      <c r="A33" s="3" t="n">
        <v>5</v>
      </c>
      <c r="B33" s="3" t="inlineStr">
        <is>
          <t>고정비</t>
        </is>
      </c>
      <c r="C33" s="3" t="inlineStr">
        <is>
          <t>통신비</t>
        </is>
      </c>
      <c r="D33" s="4" t="n">
        <v>65000</v>
      </c>
    </row>
    <row r="34">
      <c r="A34" s="3" t="n">
        <v>6</v>
      </c>
      <c r="B34" s="3" t="inlineStr">
        <is>
          <t>고정비</t>
        </is>
      </c>
      <c r="C34" s="3" t="inlineStr">
        <is>
          <t>구독료</t>
        </is>
      </c>
      <c r="D34" s="4" t="n">
        <v>55000</v>
      </c>
    </row>
    <row r="35">
      <c r="A35" s="3" t="n">
        <v>7</v>
      </c>
      <c r="B35" s="3" t="inlineStr">
        <is>
          <t>변동비</t>
        </is>
      </c>
      <c r="C35" s="3" t="inlineStr">
        <is>
          <t>소모품</t>
        </is>
      </c>
      <c r="D35" s="4" t="n">
        <v>45000</v>
      </c>
    </row>
    <row r="36">
      <c r="A36" s="3" t="n">
        <v>8</v>
      </c>
      <c r="B36" s="3" t="inlineStr">
        <is>
          <t>변동비</t>
        </is>
      </c>
      <c r="C36" s="3" t="inlineStr">
        <is>
          <t>사무용품</t>
        </is>
      </c>
      <c r="D36" s="4" t="n">
        <v>25000</v>
      </c>
    </row>
    <row r="37">
      <c r="A37" s="3" t="n">
        <v>9</v>
      </c>
      <c r="B37" s="3" t="inlineStr">
        <is>
          <t>변동비</t>
        </is>
      </c>
      <c r="C37" s="3" t="inlineStr">
        <is>
          <t>교통비</t>
        </is>
      </c>
      <c r="D37" s="4" t="n">
        <v>15000</v>
      </c>
    </row>
    <row r="38">
      <c r="A38" s="3" t="n">
        <v>10</v>
      </c>
      <c r="B38" s="3" t="inlineStr">
        <is>
          <t>변동비</t>
        </is>
      </c>
      <c r="C38" s="3" t="inlineStr">
        <is>
          <t>기타변동비</t>
        </is>
      </c>
      <c r="D38" s="4" t="n">
        <v>15000</v>
      </c>
    </row>
  </sheetData>
  <mergeCells count="2">
    <mergeCell ref="A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20" customWidth="1" min="4" max="4"/>
    <col width="15" customWidth="1" min="5" max="5"/>
    <col width="15" customWidth="1" min="6" max="6"/>
    <col width="10" customWidth="1" min="7" max="7"/>
    <col width="12" customWidth="1" min="8" max="8"/>
  </cols>
  <sheetData>
    <row r="1">
      <c r="A1" s="2" t="inlineStr">
        <is>
          <t>거래일자</t>
        </is>
      </c>
      <c r="B1" s="2" t="inlineStr">
        <is>
          <t>거래유형</t>
        </is>
      </c>
      <c r="C1" s="2" t="inlineStr">
        <is>
          <t>적요</t>
        </is>
      </c>
      <c r="D1" s="2" t="inlineStr">
        <is>
          <t>거래처</t>
        </is>
      </c>
      <c r="E1" s="2" t="inlineStr">
        <is>
          <t>입금액</t>
        </is>
      </c>
      <c r="F1" s="2" t="inlineStr">
        <is>
          <t>출금액</t>
        </is>
      </c>
      <c r="G1" s="2" t="inlineStr">
        <is>
          <t>대분류</t>
        </is>
      </c>
      <c r="H1" s="2" t="inlineStr">
        <is>
          <t>중분류</t>
        </is>
      </c>
    </row>
    <row r="2">
      <c r="A2" s="6" t="inlineStr">
        <is>
          <t>2026-01-02</t>
        </is>
      </c>
      <c r="B2" s="6" t="inlineStr">
        <is>
          <t>통장</t>
        </is>
      </c>
      <c r="C2" s="6" t="inlineStr">
        <is>
          <t>A사 용역대금 입금</t>
        </is>
      </c>
      <c r="D2" s="6" t="inlineStr">
        <is>
          <t>A사 용역대금 입금</t>
        </is>
      </c>
      <c r="E2" s="7" t="n">
        <v>5000000</v>
      </c>
      <c r="F2" s="7" t="n">
        <v>0</v>
      </c>
      <c r="G2" s="6" t="inlineStr">
        <is>
          <t>수입</t>
        </is>
      </c>
      <c r="H2" s="6" t="inlineStr">
        <is>
          <t>매출</t>
        </is>
      </c>
    </row>
    <row r="3">
      <c r="A3" s="8" t="inlineStr">
        <is>
          <t>2026-01-05</t>
        </is>
      </c>
      <c r="B3" s="8" t="inlineStr">
        <is>
          <t>카드</t>
        </is>
      </c>
      <c r="C3" s="8" t="inlineStr">
        <is>
          <t>GS칼텍스</t>
        </is>
      </c>
      <c r="D3" s="8" t="inlineStr">
        <is>
          <t>GS칼텍스</t>
        </is>
      </c>
      <c r="E3" s="9" t="n">
        <v>0</v>
      </c>
      <c r="F3" s="9" t="n">
        <v>80000</v>
      </c>
      <c r="G3" s="8" t="inlineStr">
        <is>
          <t>변동비</t>
        </is>
      </c>
      <c r="H3" s="8" t="inlineStr">
        <is>
          <t>유류비</t>
        </is>
      </c>
    </row>
    <row r="4">
      <c r="A4" s="6" t="inlineStr">
        <is>
          <t>2026-01-08</t>
        </is>
      </c>
      <c r="B4" s="6" t="inlineStr">
        <is>
          <t>카드</t>
        </is>
      </c>
      <c r="C4" s="6" t="inlineStr">
        <is>
          <t>네이버클라우드</t>
        </is>
      </c>
      <c r="D4" s="6" t="inlineStr">
        <is>
          <t>네이버클라우드</t>
        </is>
      </c>
      <c r="E4" s="7" t="n">
        <v>0</v>
      </c>
      <c r="F4" s="7" t="n">
        <v>55000</v>
      </c>
      <c r="G4" s="6" t="inlineStr">
        <is>
          <t>고정비</t>
        </is>
      </c>
      <c r="H4" s="6" t="inlineStr">
        <is>
          <t>구독료</t>
        </is>
      </c>
    </row>
    <row r="5">
      <c r="A5" s="8" t="inlineStr">
        <is>
          <t>2026-01-10</t>
        </is>
      </c>
      <c r="B5" s="8" t="inlineStr">
        <is>
          <t>카드</t>
        </is>
      </c>
      <c r="C5" s="8" t="inlineStr">
        <is>
          <t>김밥천국</t>
        </is>
      </c>
      <c r="D5" s="8" t="inlineStr">
        <is>
          <t>김밥천국</t>
        </is>
      </c>
      <c r="E5" s="9" t="n">
        <v>0</v>
      </c>
      <c r="F5" s="9" t="n">
        <v>8500</v>
      </c>
      <c r="G5" s="8" t="inlineStr">
        <is>
          <t>변동비</t>
        </is>
      </c>
      <c r="H5" s="8" t="inlineStr">
        <is>
          <t>식대</t>
        </is>
      </c>
    </row>
    <row r="6">
      <c r="A6" s="6" t="inlineStr">
        <is>
          <t>2026-01-10</t>
        </is>
      </c>
      <c r="B6" s="6" t="inlineStr">
        <is>
          <t>통장</t>
        </is>
      </c>
      <c r="C6" s="6" t="inlineStr">
        <is>
          <t>사무실 월세</t>
        </is>
      </c>
      <c r="D6" s="6" t="inlineStr">
        <is>
          <t>사무실 월세</t>
        </is>
      </c>
      <c r="E6" s="7" t="n">
        <v>0</v>
      </c>
      <c r="F6" s="7" t="n">
        <v>1500000</v>
      </c>
      <c r="G6" s="6" t="inlineStr">
        <is>
          <t>고정비</t>
        </is>
      </c>
      <c r="H6" s="6" t="inlineStr">
        <is>
          <t>임대료</t>
        </is>
      </c>
    </row>
    <row r="7">
      <c r="A7" s="8" t="inlineStr">
        <is>
          <t>2026-01-12</t>
        </is>
      </c>
      <c r="B7" s="8" t="inlineStr">
        <is>
          <t>카드</t>
        </is>
      </c>
      <c r="C7" s="8" t="inlineStr">
        <is>
          <t>카카오택시</t>
        </is>
      </c>
      <c r="D7" s="8" t="inlineStr">
        <is>
          <t>카카오택시</t>
        </is>
      </c>
      <c r="E7" s="9" t="n">
        <v>0</v>
      </c>
      <c r="F7" s="9" t="n">
        <v>15000</v>
      </c>
      <c r="G7" s="8" t="inlineStr">
        <is>
          <t>변동비</t>
        </is>
      </c>
      <c r="H7" s="8" t="inlineStr">
        <is>
          <t>교통비</t>
        </is>
      </c>
    </row>
    <row r="8">
      <c r="A8" s="6" t="inlineStr">
        <is>
          <t>2026-01-15</t>
        </is>
      </c>
      <c r="B8" s="6" t="inlineStr">
        <is>
          <t>카드</t>
        </is>
      </c>
      <c r="C8" s="6" t="inlineStr">
        <is>
          <t>아성다이소</t>
        </is>
      </c>
      <c r="D8" s="6" t="inlineStr">
        <is>
          <t>아성다이소</t>
        </is>
      </c>
      <c r="E8" s="7" t="n">
        <v>0</v>
      </c>
      <c r="F8" s="7" t="n">
        <v>45000</v>
      </c>
      <c r="G8" s="6" t="inlineStr">
        <is>
          <t>변동비</t>
        </is>
      </c>
      <c r="H8" s="6" t="inlineStr">
        <is>
          <t>소모품</t>
        </is>
      </c>
    </row>
    <row r="9">
      <c r="A9" s="8" t="inlineStr">
        <is>
          <t>2026-01-15</t>
        </is>
      </c>
      <c r="B9" s="8" t="inlineStr">
        <is>
          <t>통장</t>
        </is>
      </c>
      <c r="C9" s="8" t="inlineStr">
        <is>
          <t>직원 급여</t>
        </is>
      </c>
      <c r="D9" s="8" t="inlineStr">
        <is>
          <t>직원 급여</t>
        </is>
      </c>
      <c r="E9" s="9" t="n">
        <v>0</v>
      </c>
      <c r="F9" s="9" t="n">
        <v>4200000</v>
      </c>
      <c r="G9" s="8" t="inlineStr">
        <is>
          <t>고정비</t>
        </is>
      </c>
      <c r="H9" s="8" t="inlineStr">
        <is>
          <t>인건비</t>
        </is>
      </c>
    </row>
    <row r="10">
      <c r="A10" s="6" t="inlineStr">
        <is>
          <t>2026-01-18</t>
        </is>
      </c>
      <c r="B10" s="6" t="inlineStr">
        <is>
          <t>카드</t>
        </is>
      </c>
      <c r="C10" s="6" t="inlineStr">
        <is>
          <t>KT</t>
        </is>
      </c>
      <c r="D10" s="6" t="inlineStr">
        <is>
          <t>KT</t>
        </is>
      </c>
      <c r="E10" s="7" t="n">
        <v>0</v>
      </c>
      <c r="F10" s="7" t="n">
        <v>65000</v>
      </c>
      <c r="G10" s="6" t="inlineStr">
        <is>
          <t>고정비</t>
        </is>
      </c>
      <c r="H10" s="6" t="inlineStr">
        <is>
          <t>통신비</t>
        </is>
      </c>
    </row>
    <row r="11">
      <c r="A11" s="8" t="inlineStr">
        <is>
          <t>2026-01-20</t>
        </is>
      </c>
      <c r="B11" s="8" t="inlineStr">
        <is>
          <t>현금</t>
        </is>
      </c>
      <c r="C11" s="8" t="inlineStr">
        <is>
          <t>택배 현금결제</t>
        </is>
      </c>
      <c r="D11" s="8" t="inlineStr">
        <is>
          <t>택배 현금결제</t>
        </is>
      </c>
      <c r="E11" s="9" t="n">
        <v>0</v>
      </c>
      <c r="F11" s="9" t="n">
        <v>15000</v>
      </c>
      <c r="G11" s="8" t="inlineStr">
        <is>
          <t>변동비</t>
        </is>
      </c>
      <c r="H11" s="8" t="inlineStr">
        <is>
          <t>기타변동비</t>
        </is>
      </c>
    </row>
    <row r="12">
      <c r="A12" s="6" t="inlineStr">
        <is>
          <t>2026-01-20</t>
        </is>
      </c>
      <c r="B12" s="6" t="inlineStr">
        <is>
          <t>카드</t>
        </is>
      </c>
      <c r="C12" s="6" t="inlineStr">
        <is>
          <t>스타벅스</t>
        </is>
      </c>
      <c r="D12" s="6" t="inlineStr">
        <is>
          <t>스타벅스</t>
        </is>
      </c>
      <c r="E12" s="7" t="n">
        <v>0</v>
      </c>
      <c r="F12" s="7" t="n">
        <v>5500</v>
      </c>
      <c r="G12" s="6" t="inlineStr">
        <is>
          <t>변동비</t>
        </is>
      </c>
      <c r="H12" s="6" t="inlineStr">
        <is>
          <t>식대</t>
        </is>
      </c>
    </row>
    <row r="13">
      <c r="A13" s="8" t="inlineStr">
        <is>
          <t>2026-01-22</t>
        </is>
      </c>
      <c r="B13" s="8" t="inlineStr">
        <is>
          <t>카드</t>
        </is>
      </c>
      <c r="C13" s="8" t="inlineStr">
        <is>
          <t>한우명가</t>
        </is>
      </c>
      <c r="D13" s="8" t="inlineStr">
        <is>
          <t>한우명가</t>
        </is>
      </c>
      <c r="E13" s="9" t="n">
        <v>0</v>
      </c>
      <c r="F13" s="9" t="n">
        <v>150000</v>
      </c>
      <c r="G13" s="8" t="inlineStr">
        <is>
          <t>미분류</t>
        </is>
      </c>
      <c r="H13" s="8" t="n">
        <v/>
      </c>
    </row>
    <row r="14">
      <c r="A14" s="6" t="inlineStr">
        <is>
          <t>2026-01-25</t>
        </is>
      </c>
      <c r="B14" s="6" t="inlineStr">
        <is>
          <t>통장</t>
        </is>
      </c>
      <c r="C14" s="6" t="inlineStr">
        <is>
          <t>B사 서비스료 입금</t>
        </is>
      </c>
      <c r="D14" s="6" t="inlineStr">
        <is>
          <t>B사 서비스료 입금</t>
        </is>
      </c>
      <c r="E14" s="7" t="n">
        <v>3000000</v>
      </c>
      <c r="F14" s="7" t="n">
        <v>0</v>
      </c>
      <c r="G14" s="6" t="inlineStr">
        <is>
          <t>수입</t>
        </is>
      </c>
      <c r="H14" s="6" t="inlineStr">
        <is>
          <t>매출</t>
        </is>
      </c>
    </row>
    <row r="15">
      <c r="A15" s="8" t="inlineStr">
        <is>
          <t>2026-01-25</t>
        </is>
      </c>
      <c r="B15" s="8" t="inlineStr">
        <is>
          <t>카드</t>
        </is>
      </c>
      <c r="C15" s="8" t="inlineStr">
        <is>
          <t>리더스인쇄</t>
        </is>
      </c>
      <c r="D15" s="8" t="inlineStr">
        <is>
          <t>리더스인쇄</t>
        </is>
      </c>
      <c r="E15" s="9" t="n">
        <v>0</v>
      </c>
      <c r="F15" s="9" t="n">
        <v>25000</v>
      </c>
      <c r="G15" s="8" t="inlineStr">
        <is>
          <t>변동비</t>
        </is>
      </c>
      <c r="H15" s="8" t="inlineStr">
        <is>
          <t>사무용품</t>
        </is>
      </c>
    </row>
    <row r="16">
      <c r="A16" s="6" t="inlineStr">
        <is>
          <t>2026-01-28</t>
        </is>
      </c>
      <c r="B16" s="6" t="inlineStr">
        <is>
          <t>카드</t>
        </is>
      </c>
      <c r="C16" s="6" t="inlineStr">
        <is>
          <t>Google</t>
        </is>
      </c>
      <c r="D16" s="6" t="inlineStr">
        <is>
          <t>Google</t>
        </is>
      </c>
      <c r="E16" s="7" t="n">
        <v>0</v>
      </c>
      <c r="F16" s="7" t="n">
        <v>300000</v>
      </c>
      <c r="G16" s="6" t="inlineStr">
        <is>
          <t>변동비</t>
        </is>
      </c>
      <c r="H16" s="6" t="inlineStr">
        <is>
          <t>마케팅</t>
        </is>
      </c>
    </row>
    <row r="17">
      <c r="A17" s="8" t="inlineStr">
        <is>
          <t>2026-01-31</t>
        </is>
      </c>
      <c r="B17" s="8" t="inlineStr">
        <is>
          <t>통장</t>
        </is>
      </c>
      <c r="C17" s="8" t="inlineStr">
        <is>
          <t>건강보험료</t>
        </is>
      </c>
      <c r="D17" s="8" t="inlineStr">
        <is>
          <t>건강보험료</t>
        </is>
      </c>
      <c r="E17" s="9" t="n">
        <v>0</v>
      </c>
      <c r="F17" s="9" t="n">
        <v>350000</v>
      </c>
      <c r="G17" s="8" t="inlineStr">
        <is>
          <t>고정비</t>
        </is>
      </c>
      <c r="H17" s="8" t="inlineStr">
        <is>
          <t>인건비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15" customWidth="1" min="5" max="5"/>
    <col width="12" customWidth="1" min="6" max="6"/>
  </cols>
  <sheetData>
    <row r="1">
      <c r="A1" s="2" t="inlineStr">
        <is>
          <t>항목</t>
        </is>
      </c>
      <c r="B1" s="2" t="inlineStr">
        <is>
          <t>금액</t>
        </is>
      </c>
      <c r="C1" s="2" t="inlineStr">
        <is>
          <t>비율(%)</t>
        </is>
      </c>
      <c r="D1" s="2" t="inlineStr">
        <is>
          <t>전월금액</t>
        </is>
      </c>
      <c r="E1" s="2" t="inlineStr">
        <is>
          <t>증감액</t>
        </is>
      </c>
      <c r="F1" s="2" t="inlineStr">
        <is>
          <t>증감률(%)</t>
        </is>
      </c>
    </row>
    <row r="2">
      <c r="A2" s="6" t="inlineStr">
        <is>
          <t>인건비</t>
        </is>
      </c>
      <c r="B2" s="7" t="n">
        <v>4550000</v>
      </c>
      <c r="C2" s="6" t="n">
        <v>73.7</v>
      </c>
      <c r="D2" s="7" t="n">
        <v>0</v>
      </c>
      <c r="E2" s="7" t="n">
        <v>4550000</v>
      </c>
      <c r="F2" s="6" t="n">
        <v>0</v>
      </c>
    </row>
    <row r="3">
      <c r="A3" s="8" t="inlineStr">
        <is>
          <t>임대료</t>
        </is>
      </c>
      <c r="B3" s="9" t="n">
        <v>1500000</v>
      </c>
      <c r="C3" s="8" t="n">
        <v>24.3</v>
      </c>
      <c r="D3" s="9" t="n">
        <v>0</v>
      </c>
      <c r="E3" s="9" t="n">
        <v>1500000</v>
      </c>
      <c r="F3" s="8" t="n">
        <v>0</v>
      </c>
    </row>
    <row r="4">
      <c r="A4" s="6" t="inlineStr">
        <is>
          <t>통신비</t>
        </is>
      </c>
      <c r="B4" s="7" t="n">
        <v>65000</v>
      </c>
      <c r="C4" s="6" t="n">
        <v>1.1</v>
      </c>
      <c r="D4" s="7" t="n">
        <v>0</v>
      </c>
      <c r="E4" s="7" t="n">
        <v>65000</v>
      </c>
      <c r="F4" s="6" t="n">
        <v>0</v>
      </c>
    </row>
    <row r="5">
      <c r="A5" s="8" t="inlineStr">
        <is>
          <t>구독료</t>
        </is>
      </c>
      <c r="B5" s="9" t="n">
        <v>55000</v>
      </c>
      <c r="C5" s="8" t="n">
        <v>0.9</v>
      </c>
      <c r="D5" s="9" t="n">
        <v>0</v>
      </c>
      <c r="E5" s="9" t="n">
        <v>55000</v>
      </c>
      <c r="F5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15" customWidth="1" min="5" max="5"/>
    <col width="12" customWidth="1" min="6" max="6"/>
  </cols>
  <sheetData>
    <row r="1">
      <c r="A1" s="2" t="inlineStr">
        <is>
          <t>항목</t>
        </is>
      </c>
      <c r="B1" s="2" t="inlineStr">
        <is>
          <t>금액</t>
        </is>
      </c>
      <c r="C1" s="2" t="inlineStr">
        <is>
          <t>비율(%)</t>
        </is>
      </c>
      <c r="D1" s="2" t="inlineStr">
        <is>
          <t>전월금액</t>
        </is>
      </c>
      <c r="E1" s="2" t="inlineStr">
        <is>
          <t>증감액</t>
        </is>
      </c>
      <c r="F1" s="2" t="inlineStr">
        <is>
          <t>증감률(%)</t>
        </is>
      </c>
    </row>
    <row r="2">
      <c r="A2" s="6" t="inlineStr">
        <is>
          <t>마케팅</t>
        </is>
      </c>
      <c r="B2" s="7" t="n">
        <v>300000</v>
      </c>
      <c r="C2" s="6" t="n">
        <v>60.7</v>
      </c>
      <c r="D2" s="7" t="n">
        <v>0</v>
      </c>
      <c r="E2" s="7" t="n">
        <v>300000</v>
      </c>
      <c r="F2" s="6" t="n">
        <v>0</v>
      </c>
    </row>
    <row r="3">
      <c r="A3" s="8" t="inlineStr">
        <is>
          <t>유류비</t>
        </is>
      </c>
      <c r="B3" s="9" t="n">
        <v>80000</v>
      </c>
      <c r="C3" s="8" t="n">
        <v>16.2</v>
      </c>
      <c r="D3" s="9" t="n">
        <v>0</v>
      </c>
      <c r="E3" s="9" t="n">
        <v>80000</v>
      </c>
      <c r="F3" s="8" t="n">
        <v>0</v>
      </c>
    </row>
    <row r="4">
      <c r="A4" s="6" t="inlineStr">
        <is>
          <t>소모품</t>
        </is>
      </c>
      <c r="B4" s="7" t="n">
        <v>45000</v>
      </c>
      <c r="C4" s="6" t="n">
        <v>9.1</v>
      </c>
      <c r="D4" s="7" t="n">
        <v>0</v>
      </c>
      <c r="E4" s="7" t="n">
        <v>45000</v>
      </c>
      <c r="F4" s="6" t="n">
        <v>0</v>
      </c>
    </row>
    <row r="5">
      <c r="A5" s="8" t="inlineStr">
        <is>
          <t>사무용품</t>
        </is>
      </c>
      <c r="B5" s="9" t="n">
        <v>25000</v>
      </c>
      <c r="C5" s="8" t="n">
        <v>5.1</v>
      </c>
      <c r="D5" s="9" t="n">
        <v>0</v>
      </c>
      <c r="E5" s="9" t="n">
        <v>25000</v>
      </c>
      <c r="F5" s="8" t="n">
        <v>0</v>
      </c>
    </row>
    <row r="6">
      <c r="A6" s="6" t="inlineStr">
        <is>
          <t>교통비</t>
        </is>
      </c>
      <c r="B6" s="7" t="n">
        <v>15000</v>
      </c>
      <c r="C6" s="6" t="n">
        <v>3</v>
      </c>
      <c r="D6" s="7" t="n">
        <v>0</v>
      </c>
      <c r="E6" s="7" t="n">
        <v>15000</v>
      </c>
      <c r="F6" s="6" t="n">
        <v>0</v>
      </c>
    </row>
    <row r="7">
      <c r="A7" s="8" t="inlineStr">
        <is>
          <t>기타변동비</t>
        </is>
      </c>
      <c r="B7" s="9" t="n">
        <v>15000</v>
      </c>
      <c r="C7" s="8" t="n">
        <v>3</v>
      </c>
      <c r="D7" s="9" t="n">
        <v>0</v>
      </c>
      <c r="E7" s="9" t="n">
        <v>15000</v>
      </c>
      <c r="F7" s="8" t="n">
        <v>0</v>
      </c>
    </row>
    <row r="8">
      <c r="A8" s="6" t="inlineStr">
        <is>
          <t>식대</t>
        </is>
      </c>
      <c r="B8" s="7" t="n">
        <v>14000</v>
      </c>
      <c r="C8" s="6" t="n">
        <v>2.8</v>
      </c>
      <c r="D8" s="7" t="n">
        <v>0</v>
      </c>
      <c r="E8" s="7" t="n">
        <v>14000</v>
      </c>
      <c r="F8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월</t>
        </is>
      </c>
      <c r="B1" s="2" t="inlineStr">
        <is>
          <t>총수입</t>
        </is>
      </c>
      <c r="C1" s="2" t="inlineStr">
        <is>
          <t>총지출</t>
        </is>
      </c>
      <c r="D1" s="2" t="inlineStr">
        <is>
          <t>고정비</t>
        </is>
      </c>
      <c r="E1" s="2" t="inlineStr">
        <is>
          <t>변동비</t>
        </is>
      </c>
      <c r="F1" s="2" t="inlineStr">
        <is>
          <t>순이익</t>
        </is>
      </c>
    </row>
    <row r="2">
      <c r="A2" s="6" t="inlineStr">
        <is>
          <t>2026-01</t>
        </is>
      </c>
      <c r="B2" s="7" t="n">
        <v>8000000</v>
      </c>
      <c r="C2" s="7" t="n">
        <v>6814000</v>
      </c>
      <c r="D2" s="7" t="n">
        <v>6170000</v>
      </c>
      <c r="E2" s="7" t="n">
        <v>494000</v>
      </c>
      <c r="F2" s="7" t="n">
        <v>1186000</v>
      </c>
    </row>
    <row r="3">
      <c r="A3" s="8" t="inlineStr">
        <is>
          <t>2026-02</t>
        </is>
      </c>
      <c r="B3" s="9" t="n">
        <v>8000000</v>
      </c>
      <c r="C3" s="9" t="n">
        <v>6868000</v>
      </c>
      <c r="D3" s="9" t="n">
        <v>6235000</v>
      </c>
      <c r="E3" s="9" t="n">
        <v>353000</v>
      </c>
      <c r="F3" s="9" t="n">
        <v>1132000</v>
      </c>
    </row>
    <row r="4">
      <c r="A4" s="6" t="inlineStr">
        <is>
          <t>2026-03</t>
        </is>
      </c>
      <c r="B4" s="7" t="n">
        <v>9512500</v>
      </c>
      <c r="C4" s="7" t="n">
        <v>8689000</v>
      </c>
      <c r="D4" s="7" t="n">
        <v>6106000</v>
      </c>
      <c r="E4" s="7" t="n">
        <v>583000</v>
      </c>
      <c r="F4" s="7" t="n">
        <v>823500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8" customWidth="1" min="5" max="5"/>
    <col width="15" customWidth="1" min="6" max="6"/>
  </cols>
  <sheetData>
    <row r="1">
      <c r="A1" s="1" t="inlineStr">
        <is>
          <t>🔔 이상 항목 탐지</t>
        </is>
      </c>
    </row>
    <row r="3">
      <c r="A3" s="3" t="inlineStr">
        <is>
          <t>이상 항목이 없습니다.</t>
        </is>
      </c>
    </row>
    <row r="5">
      <c r="A5" s="1" t="inlineStr">
        <is>
          <t>📋 종합 재무 조언</t>
        </is>
      </c>
    </row>
    <row r="6" ht="28" customHeight="1">
      <c r="A6" s="3" t="inlineStr">
        <is>
          <t>⚠️ 고정비 비율이 90.5%로 매우 높습니다. 고정비가 전체 지출의 70%를 초과하면 매출 변동에 취약합니다. 구독료, 리스 등 절감 가능한 고정비를 검토하세요.</t>
        </is>
      </c>
    </row>
  </sheetData>
  <mergeCells count="3">
    <mergeCell ref="A6:F6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2026-03-26T08:48:54Z</dcterms:created>
  <dcterms:modified xsi:type="dcterms:W3CDTF">2026-03-26T08:48:54Z</dcterms:modified>
</cp:coreProperties>
</file>